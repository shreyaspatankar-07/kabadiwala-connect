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llector Economics" sheetId="2" state="visible" r:id="rId2"/>
    <sheet name="Platform Sustain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₹#,##0.00"/>
    <numFmt numFmtId="166" formatCode="0.0%"/>
    <numFmt numFmtId="167" formatCode="0.0 kg"/>
    <numFmt numFmtId="168" formatCode="+0.0%"/>
    <numFmt numFmtId="169" formatCode="#,##0 kg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475569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D97706"/>
        <bgColor rgb="00D97706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0" fontId="3" fillId="5" borderId="2" pivotButton="0" quotePrefix="0" xfId="0"/>
    <xf numFmtId="167" fontId="3" fillId="5" borderId="2" pivotButton="0" quotePrefix="0" xfId="0"/>
    <xf numFmtId="0" fontId="0" fillId="5" borderId="2" pivotButton="0" quotePrefix="0" xfId="0"/>
    <xf numFmtId="0" fontId="2" fillId="6" borderId="0" pivotButton="0" quotePrefix="0" xfId="0"/>
    <xf numFmtId="3" fontId="0" fillId="0" borderId="1" pivotButton="0" quotePrefix="0" xfId="0"/>
    <xf numFmtId="0" fontId="0" fillId="0" borderId="1" pivotButton="0" quotePrefix="0" xfId="0"/>
    <xf numFmtId="168" fontId="0" fillId="7" borderId="1" pivotButton="0" quotePrefix="0" xfId="0"/>
    <xf numFmtId="165" fontId="3" fillId="5" borderId="2" pivotButton="0" quotePrefix="0" xfId="0"/>
    <xf numFmtId="168" fontId="3" fillId="7" borderId="2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6" borderId="2" pivotButton="0" quotePrefix="0" xfId="0"/>
    <xf numFmtId="165" fontId="0" fillId="0" borderId="2" pivotButton="0" quotePrefix="0" xfId="0"/>
    <xf numFmtId="168" fontId="0" fillId="7" borderId="2" pivotButton="0" quotePrefix="0" xfId="0"/>
    <xf numFmtId="0" fontId="4" fillId="0" borderId="2" pivotButton="0" quotePrefix="0" xfId="0"/>
    <xf numFmtId="0" fontId="0" fillId="0" borderId="2" pivotButton="0" quotePrefix="0" xfId="0"/>
    <xf numFmtId="165" fontId="3" fillId="7" borderId="2" pivotButton="0" quotePrefix="0" xfId="0"/>
    <xf numFmtId="166" fontId="3" fillId="0" borderId="2" pivotButton="0" quotePrefix="0" xfId="0"/>
    <xf numFmtId="169" fontId="0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Collector Net Monthly Income: Baseline vs Platform Scenarios (₹/month)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'Collector Economics'!$B$17:$E$17</f>
            </numRef>
          </cat>
          <val>
            <numRef>
              <f>'Collector Economics'!$B$20:$E$20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Income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4" customWidth="1" min="7" max="7"/>
  </cols>
  <sheetData>
    <row r="1" ht="40" customHeight="1">
      <c r="A1" s="1" t="inlineStr">
        <is>
          <t>Kabadiwala Connect: Unit Economics &amp; Model Assumptions</t>
        </is>
      </c>
    </row>
    <row r="2"/>
    <row r="3" ht="28" customHeight="1">
      <c r="A3" s="2" t="inlineStr">
        <is>
          <t>Parameter / Scrap Category</t>
        </is>
      </c>
      <c r="B3" s="2" t="inlineStr">
        <is>
          <t>Baseline Daily Volume (kg)</t>
        </is>
      </c>
      <c r="C3" s="2" t="inlineStr">
        <is>
          <t>Informal Middleman Rate (₹/kg)</t>
        </is>
      </c>
      <c r="D3" s="2" t="inlineStr">
        <is>
          <t>Formal Recycler Benchmark (₹/kg)</t>
        </is>
      </c>
      <c r="E3" s="2" t="inlineStr">
        <is>
          <t>Middleman Haircut (%)</t>
        </is>
      </c>
      <c r="F3" s="2" t="inlineStr">
        <is>
          <t>Data Provenance / Status</t>
        </is>
      </c>
      <c r="G3" s="2" t="inlineStr">
        <is>
          <t>Fill from Field Action (Collector Interviews)</t>
        </is>
      </c>
    </row>
    <row r="4">
      <c r="A4" s="3" t="inlineStr">
        <is>
          <t>CRT Monitors / TVs</t>
        </is>
      </c>
      <c r="B4" s="4" t="n">
        <v>8</v>
      </c>
      <c r="C4" s="5" t="n">
        <v>9.5</v>
      </c>
      <c r="D4" s="5" t="n">
        <v>13.5</v>
      </c>
      <c r="E4" s="6">
        <f>(D4-C4)/D4</f>
        <v/>
      </c>
      <c r="F4" s="7" t="inlineStr">
        <is>
          <t>Assumption</t>
        </is>
      </c>
      <c r="G4" s="8" t="inlineStr">
        <is>
          <t>Replace with measured daily kg from Interview #1</t>
        </is>
      </c>
    </row>
    <row r="5">
      <c r="A5" s="3" t="inlineStr">
        <is>
          <t>LCD Panels &amp; Assemblies</t>
        </is>
      </c>
      <c r="B5" s="4" t="n">
        <v>4</v>
      </c>
      <c r="C5" s="5" t="n">
        <v>32</v>
      </c>
      <c r="D5" s="5" t="n">
        <v>46</v>
      </c>
      <c r="E5" s="6">
        <f>(D5-C5)/D5</f>
        <v/>
      </c>
      <c r="F5" s="7" t="inlineStr">
        <is>
          <t>Assumption</t>
        </is>
      </c>
      <c r="G5" s="8" t="inlineStr">
        <is>
          <t>Verify screen buying rate from scrap yard visits</t>
        </is>
      </c>
    </row>
    <row r="6">
      <c r="A6" s="3" t="inlineStr">
        <is>
          <t>PCB (Low Grade - Power Supplies)</t>
        </is>
      </c>
      <c r="B6" s="4" t="n">
        <v>5</v>
      </c>
      <c r="C6" s="5" t="n">
        <v>35</v>
      </c>
      <c r="D6" s="5" t="n">
        <v>50</v>
      </c>
      <c r="E6" s="6">
        <f>(D6-C6)/D6</f>
        <v/>
      </c>
      <c r="F6" s="7" t="inlineStr">
        <is>
          <t>Assumption</t>
        </is>
      </c>
      <c r="G6" s="8" t="inlineStr">
        <is>
          <t>Replace with local aggregator quote</t>
        </is>
      </c>
    </row>
    <row r="7">
      <c r="A7" s="3" t="inlineStr">
        <is>
          <t>PCB (Mid Grade - Motherboards)</t>
        </is>
      </c>
      <c r="B7" s="4" t="n">
        <v>3</v>
      </c>
      <c r="C7" s="5" t="n">
        <v>145</v>
      </c>
      <c r="D7" s="5" t="n">
        <v>205</v>
      </c>
      <c r="E7" s="6">
        <f>(D7-C7)/D7</f>
        <v/>
      </c>
      <c r="F7" s="7" t="inlineStr">
        <is>
          <t>Field-Verified (Thane)</t>
        </is>
      </c>
      <c r="G7" s="8" t="inlineStr">
        <is>
          <t>Cross-check with Thane field baseline</t>
        </is>
      </c>
    </row>
    <row r="8">
      <c r="A8" s="3" t="inlineStr">
        <is>
          <t>PCB (High Grade - Mobile/Server)</t>
        </is>
      </c>
      <c r="B8" s="4" t="n">
        <v>1.5</v>
      </c>
      <c r="C8" s="5" t="n">
        <v>420</v>
      </c>
      <c r="D8" s="5" t="n">
        <v>610</v>
      </c>
      <c r="E8" s="6">
        <f>(D8-C8)/D8</f>
        <v/>
      </c>
      <c r="F8" s="7" t="inlineStr">
        <is>
          <t>Field-Verified (Kurla)</t>
        </is>
      </c>
      <c r="G8" s="8" t="inlineStr">
        <is>
          <t>Verify against formal smelter lot quote</t>
        </is>
      </c>
    </row>
    <row r="9">
      <c r="A9" s="3" t="inlineStr">
        <is>
          <t>Copper Cables &amp; Wiring</t>
        </is>
      </c>
      <c r="B9" s="4" t="n">
        <v>6</v>
      </c>
      <c r="C9" s="5" t="n">
        <v>215</v>
      </c>
      <c r="D9" s="5" t="n">
        <v>305</v>
      </c>
      <c r="E9" s="6">
        <f>(D9-C9)/D9</f>
        <v/>
      </c>
      <c r="F9" s="7" t="inlineStr">
        <is>
          <t>Field-Verified (Dharavi)</t>
        </is>
      </c>
      <c r="G9" s="8" t="inlineStr">
        <is>
          <t>Record actual unstripped cable price</t>
        </is>
      </c>
    </row>
    <row r="10">
      <c r="A10" s="3" t="inlineStr">
        <is>
          <t>Li-ion &amp; Lead-Acid Batteries</t>
        </is>
      </c>
      <c r="B10" s="4" t="n">
        <v>4.5</v>
      </c>
      <c r="C10" s="5" t="n">
        <v>65</v>
      </c>
      <c r="D10" s="5" t="n">
        <v>92</v>
      </c>
      <c r="E10" s="6">
        <f>(D10-C10)/D10</f>
        <v/>
      </c>
      <c r="F10" s="7" t="inlineStr">
        <is>
          <t>Assumption</t>
        </is>
      </c>
      <c r="G10" s="8" t="inlineStr">
        <is>
          <t>Verify hazardous battery rate</t>
        </is>
      </c>
    </row>
    <row r="11">
      <c r="A11" s="3" t="inlineStr">
        <is>
          <t>Motors, Transformers &amp; Magnets</t>
        </is>
      </c>
      <c r="B11" s="4" t="n">
        <v>6</v>
      </c>
      <c r="C11" s="5" t="n">
        <v>58</v>
      </c>
      <c r="D11" s="5" t="n">
        <v>82</v>
      </c>
      <c r="E11" s="6">
        <f>(D11-C11)/D11</f>
        <v/>
      </c>
      <c r="F11" s="7" t="inlineStr">
        <is>
          <t>Assumption</t>
        </is>
      </c>
      <c r="G11" s="8" t="inlineStr">
        <is>
          <t>Verify copper recovery deductions</t>
        </is>
      </c>
    </row>
    <row r="12">
      <c r="A12" s="3" t="inlineStr">
        <is>
          <t>Mixed E-Waste Plastics (ABS/HIPS)</t>
        </is>
      </c>
      <c r="B12" s="4" t="n">
        <v>5</v>
      </c>
      <c r="C12" s="5" t="n">
        <v>15</v>
      </c>
      <c r="D12" s="5" t="n">
        <v>23</v>
      </c>
      <c r="E12" s="6">
        <f>(D12-C12)/D12</f>
        <v/>
      </c>
      <c r="F12" s="7" t="inlineStr">
        <is>
          <t>Assumption</t>
        </is>
      </c>
      <c r="G12" s="8" t="inlineStr">
        <is>
          <t>Confirm clean sorted plastic price</t>
        </is>
      </c>
    </row>
    <row r="13">
      <c r="A13" s="9" t="inlineStr">
        <is>
          <t>Total Daily E-Waste Collected (kg)</t>
        </is>
      </c>
      <c r="B13" s="10">
        <f>SUM(B4:B12)</f>
        <v/>
      </c>
      <c r="C13" s="11" t="inlineStr">
        <is>
          <t>-</t>
        </is>
      </c>
      <c r="D13" s="11" t="inlineStr">
        <is>
          <t>-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Total daily collection capacity</t>
        </is>
      </c>
    </row>
    <row r="14"/>
    <row r="15"/>
    <row r="16">
      <c r="A16" s="12" t="inlineStr">
        <is>
          <t>General Operational Assumptions</t>
        </is>
      </c>
    </row>
    <row r="17">
      <c r="A17" s="3" t="inlineStr">
        <is>
          <t>Working Days per Month</t>
        </is>
      </c>
      <c r="B17" s="13" t="n">
        <v>26</v>
      </c>
      <c r="C17" s="14" t="inlineStr">
        <is>
          <t>Days</t>
        </is>
      </c>
      <c r="D17" s="14" t="inlineStr"/>
      <c r="E17" s="14" t="inlineStr"/>
      <c r="F17" s="14" t="inlineStr">
        <is>
          <t>Assumption</t>
        </is>
      </c>
      <c r="G17" s="14" t="inlineStr">
        <is>
          <t>Confirm actual working days from interview</t>
        </is>
      </c>
    </row>
    <row r="18">
      <c r="A18" s="3" t="inlineStr">
        <is>
          <t>Monthly Informal Health &amp; Fines Burden</t>
        </is>
      </c>
      <c r="B18" s="13" t="n">
        <v>850</v>
      </c>
      <c r="C18" s="14" t="inlineStr">
        <is>
          <t>₹ / month</t>
        </is>
      </c>
      <c r="D18" s="14" t="inlineStr"/>
      <c r="E18" s="14" t="inlineStr"/>
      <c r="F18" s="14" t="inlineStr">
        <is>
          <t>Assumption</t>
        </is>
      </c>
      <c r="G18" s="14" t="inlineStr">
        <is>
          <t>Cost of burn treatments, toxic cough syrup &amp; police fines</t>
        </is>
      </c>
    </row>
    <row r="19">
      <c r="A19" s="3" t="inlineStr">
        <is>
          <t>Conservative Price Improvement</t>
        </is>
      </c>
      <c r="B19" s="6" t="n">
        <v>0.1</v>
      </c>
      <c r="C19" s="14" t="inlineStr">
        <is>
          <t>%</t>
        </is>
      </c>
      <c r="D19" s="14" t="inlineStr"/>
      <c r="E19" s="14" t="inlineStr"/>
      <c r="F19" s="14" t="inlineStr">
        <is>
          <t>Scenario Assumption</t>
        </is>
      </c>
      <c r="G19" s="14" t="inlineStr">
        <is>
          <t>Platform gain: 10% price lift</t>
        </is>
      </c>
    </row>
    <row r="20">
      <c r="A20" s="3" t="inlineStr">
        <is>
          <t>Conservative Volume Increase</t>
        </is>
      </c>
      <c r="B20" s="6" t="n">
        <v>0.2</v>
      </c>
      <c r="C20" s="14" t="inlineStr">
        <is>
          <t>%</t>
        </is>
      </c>
      <c r="D20" s="14" t="inlineStr"/>
      <c r="E20" s="14" t="inlineStr"/>
      <c r="F20" s="14" t="inlineStr">
        <is>
          <t>Scenario Assumption</t>
        </is>
      </c>
      <c r="G20" s="14" t="inlineStr">
        <is>
          <t>Platform gain: 20% volume growth (pickup routing)</t>
        </is>
      </c>
    </row>
    <row r="21">
      <c r="A21" s="3" t="inlineStr">
        <is>
          <t>Base Price Improvement</t>
        </is>
      </c>
      <c r="B21" s="6" t="n">
        <v>0.25</v>
      </c>
      <c r="C21" s="14" t="inlineStr">
        <is>
          <t>%</t>
        </is>
      </c>
      <c r="D21" s="14" t="inlineStr"/>
      <c r="E21" s="14" t="inlineStr"/>
      <c r="F21" s="14" t="inlineStr">
        <is>
          <t>Scenario Assumption</t>
        </is>
      </c>
      <c r="G21" s="14" t="inlineStr">
        <is>
          <t>Platform gain: 25% price lift</t>
        </is>
      </c>
    </row>
    <row r="22">
      <c r="A22" s="3" t="inlineStr">
        <is>
          <t>Base Volume Increase</t>
        </is>
      </c>
      <c r="B22" s="6" t="n">
        <v>0.4</v>
      </c>
      <c r="C22" s="14" t="inlineStr">
        <is>
          <t>%</t>
        </is>
      </c>
      <c r="D22" s="14" t="inlineStr"/>
      <c r="E22" s="14" t="inlineStr"/>
      <c r="F22" s="14" t="inlineStr">
        <is>
          <t>Scenario Assumption</t>
        </is>
      </c>
      <c r="G22" s="14" t="inlineStr">
        <is>
          <t>Platform gain: 40% volume growth</t>
        </is>
      </c>
    </row>
    <row r="23">
      <c r="A23" s="3" t="inlineStr">
        <is>
          <t>Optimistic Price Improvement</t>
        </is>
      </c>
      <c r="B23" s="6" t="n">
        <v>0.35</v>
      </c>
      <c r="C23" s="14" t="inlineStr">
        <is>
          <t>%</t>
        </is>
      </c>
      <c r="D23" s="14" t="inlineStr"/>
      <c r="E23" s="14" t="inlineStr"/>
      <c r="F23" s="14" t="inlineStr">
        <is>
          <t>Scenario Assumption</t>
        </is>
      </c>
      <c r="G23" s="14" t="inlineStr">
        <is>
          <t>Platform gain: 35% price lift</t>
        </is>
      </c>
    </row>
    <row r="24">
      <c r="A24" s="3" t="inlineStr">
        <is>
          <t>Optimistic Volume Increase</t>
        </is>
      </c>
      <c r="B24" s="6" t="n">
        <v>0.6</v>
      </c>
      <c r="C24" s="14" t="inlineStr">
        <is>
          <t>%</t>
        </is>
      </c>
      <c r="D24" s="14" t="inlineStr"/>
      <c r="E24" s="14" t="inlineStr"/>
      <c r="F24" s="14" t="inlineStr">
        <is>
          <t>Scenario Assumption</t>
        </is>
      </c>
      <c r="G24" s="14" t="inlineStr">
        <is>
          <t>Platform gain: 60% volume growth</t>
        </is>
      </c>
    </row>
  </sheetData>
  <mergeCells count="2">
    <mergeCell ref="A16:G1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6" customWidth="1" min="8" max="8"/>
  </cols>
  <sheetData>
    <row r="1" ht="40" customHeight="1">
      <c r="A1" s="1" t="inlineStr">
        <is>
          <t>Collector Income Delta: Baseline (Informal) vs Platform Scenarios</t>
        </is>
      </c>
    </row>
    <row r="2"/>
    <row r="3" ht="28" customHeight="1">
      <c r="A3" s="2" t="inlineStr">
        <is>
          <t>Scrap Category</t>
        </is>
      </c>
      <c r="B3" s="2" t="inlineStr">
        <is>
          <t>Baseline Daily (₹)</t>
        </is>
      </c>
      <c r="C3" s="2" t="inlineStr">
        <is>
          <t>Conservative Daily (₹)</t>
        </is>
      </c>
      <c r="D3" s="2" t="inlineStr">
        <is>
          <t>Base Daily (₹)</t>
        </is>
      </c>
      <c r="E3" s="2" t="inlineStr">
        <is>
          <t>Optimistic Daily (₹)</t>
        </is>
      </c>
      <c r="F3" s="2" t="inlineStr">
        <is>
          <t>Base Daily Lift (₹)</t>
        </is>
      </c>
      <c r="G3" s="2" t="inlineStr">
        <is>
          <t>Base % Lift</t>
        </is>
      </c>
      <c r="H3" s="2" t="inlineStr">
        <is>
          <t>Remarks &amp; Impact Drivers</t>
        </is>
      </c>
    </row>
    <row r="4">
      <c r="A4" s="3">
        <f>Assumptions!A4</f>
        <v/>
      </c>
      <c r="B4" s="5">
        <f>Assumptions!B4*Assumptions!C4</f>
        <v/>
      </c>
      <c r="C4" s="5">
        <f>(Assumptions!B4*(1+Assumptions!$B$19))*(Assumptions!C4*(1+Assumptions!$B$18))</f>
        <v/>
      </c>
      <c r="D4" s="5">
        <f>(Assumptions!B4*(1+Assumptions!$B$21))*(Assumptions!C4*(1+Assumptions!$B$20))</f>
        <v/>
      </c>
      <c r="E4" s="5">
        <f>(Assumptions!B4*(1+Assumptions!$B$23))*(Assumptions!C4*(1+Assumptions!$B$22))</f>
        <v/>
      </c>
      <c r="F4" s="5">
        <f>D4-B4</f>
        <v/>
      </c>
      <c r="G4" s="15">
        <f>F4/B4</f>
        <v/>
      </c>
      <c r="H4" s="7" t="inlineStr">
        <is>
          <t>Direct formal market rate without middleman haircut</t>
        </is>
      </c>
    </row>
    <row r="5">
      <c r="A5" s="3">
        <f>Assumptions!A5</f>
        <v/>
      </c>
      <c r="B5" s="5">
        <f>Assumptions!B5*Assumptions!C5</f>
        <v/>
      </c>
      <c r="C5" s="5">
        <f>(Assumptions!B5*(1+Assumptions!$B$19))*(Assumptions!C5*(1+Assumptions!$B$18))</f>
        <v/>
      </c>
      <c r="D5" s="5">
        <f>(Assumptions!B5*(1+Assumptions!$B$21))*(Assumptions!C5*(1+Assumptions!$B$20))</f>
        <v/>
      </c>
      <c r="E5" s="5">
        <f>(Assumptions!B5*(1+Assumptions!$B$23))*(Assumptions!C5*(1+Assumptions!$B$22))</f>
        <v/>
      </c>
      <c r="F5" s="5">
        <f>D5-B5</f>
        <v/>
      </c>
      <c r="G5" s="15">
        <f>F5/B5</f>
        <v/>
      </c>
      <c r="H5" s="7" t="inlineStr">
        <is>
          <t>Direct formal market rate without middleman haircut</t>
        </is>
      </c>
    </row>
    <row r="6">
      <c r="A6" s="3">
        <f>Assumptions!A6</f>
        <v/>
      </c>
      <c r="B6" s="5">
        <f>Assumptions!B6*Assumptions!C6</f>
        <v/>
      </c>
      <c r="C6" s="5">
        <f>(Assumptions!B6*(1+Assumptions!$B$19))*(Assumptions!C6*(1+Assumptions!$B$18))</f>
        <v/>
      </c>
      <c r="D6" s="5">
        <f>(Assumptions!B6*(1+Assumptions!$B$21))*(Assumptions!C6*(1+Assumptions!$B$20))</f>
        <v/>
      </c>
      <c r="E6" s="5">
        <f>(Assumptions!B6*(1+Assumptions!$B$23))*(Assumptions!C6*(1+Assumptions!$B$22))</f>
        <v/>
      </c>
      <c r="F6" s="5">
        <f>D6-B6</f>
        <v/>
      </c>
      <c r="G6" s="15">
        <f>F6/B6</f>
        <v/>
      </c>
      <c r="H6" s="7" t="inlineStr">
        <is>
          <t>Direct formal market rate without middleman haircut</t>
        </is>
      </c>
    </row>
    <row r="7">
      <c r="A7" s="3">
        <f>Assumptions!A7</f>
        <v/>
      </c>
      <c r="B7" s="5">
        <f>Assumptions!B7*Assumptions!C7</f>
        <v/>
      </c>
      <c r="C7" s="5">
        <f>(Assumptions!B7*(1+Assumptions!$B$19))*(Assumptions!C7*(1+Assumptions!$B$18))</f>
        <v/>
      </c>
      <c r="D7" s="5">
        <f>(Assumptions!B7*(1+Assumptions!$B$21))*(Assumptions!C7*(1+Assumptions!$B$20))</f>
        <v/>
      </c>
      <c r="E7" s="5">
        <f>(Assumptions!B7*(1+Assumptions!$B$23))*(Assumptions!C7*(1+Assumptions!$B$22))</f>
        <v/>
      </c>
      <c r="F7" s="5">
        <f>D7-B7</f>
        <v/>
      </c>
      <c r="G7" s="15">
        <f>F7/B7</f>
        <v/>
      </c>
      <c r="H7" s="7" t="inlineStr">
        <is>
          <t>Direct formal market rate without middleman haircut</t>
        </is>
      </c>
    </row>
    <row r="8">
      <c r="A8" s="3">
        <f>Assumptions!A8</f>
        <v/>
      </c>
      <c r="B8" s="5">
        <f>Assumptions!B8*Assumptions!C8</f>
        <v/>
      </c>
      <c r="C8" s="5">
        <f>(Assumptions!B8*(1+Assumptions!$B$19))*(Assumptions!C8*(1+Assumptions!$B$18))</f>
        <v/>
      </c>
      <c r="D8" s="5">
        <f>(Assumptions!B8*(1+Assumptions!$B$21))*(Assumptions!C8*(1+Assumptions!$B$20))</f>
        <v/>
      </c>
      <c r="E8" s="5">
        <f>(Assumptions!B8*(1+Assumptions!$B$23))*(Assumptions!C8*(1+Assumptions!$B$22))</f>
        <v/>
      </c>
      <c r="F8" s="5">
        <f>D8-B8</f>
        <v/>
      </c>
      <c r="G8" s="15">
        <f>F8/B8</f>
        <v/>
      </c>
      <c r="H8" s="7" t="inlineStr">
        <is>
          <t>Direct formal market rate without middleman haircut</t>
        </is>
      </c>
    </row>
    <row r="9">
      <c r="A9" s="3">
        <f>Assumptions!A9</f>
        <v/>
      </c>
      <c r="B9" s="5">
        <f>Assumptions!B9*Assumptions!C9</f>
        <v/>
      </c>
      <c r="C9" s="5">
        <f>(Assumptions!B9*(1+Assumptions!$B$19))*(Assumptions!C9*(1+Assumptions!$B$18))</f>
        <v/>
      </c>
      <c r="D9" s="5">
        <f>(Assumptions!B9*(1+Assumptions!$B$21))*(Assumptions!C9*(1+Assumptions!$B$20))</f>
        <v/>
      </c>
      <c r="E9" s="5">
        <f>(Assumptions!B9*(1+Assumptions!$B$23))*(Assumptions!C9*(1+Assumptions!$B$22))</f>
        <v/>
      </c>
      <c r="F9" s="5">
        <f>D9-B9</f>
        <v/>
      </c>
      <c r="G9" s="15">
        <f>F9/B9</f>
        <v/>
      </c>
      <c r="H9" s="7" t="inlineStr">
        <is>
          <t>Direct formal market rate without middleman haircut</t>
        </is>
      </c>
    </row>
    <row r="10">
      <c r="A10" s="3">
        <f>Assumptions!A10</f>
        <v/>
      </c>
      <c r="B10" s="5">
        <f>Assumptions!B10*Assumptions!C10</f>
        <v/>
      </c>
      <c r="C10" s="5">
        <f>(Assumptions!B10*(1+Assumptions!$B$19))*(Assumptions!C10*(1+Assumptions!$B$18))</f>
        <v/>
      </c>
      <c r="D10" s="5">
        <f>(Assumptions!B10*(1+Assumptions!$B$21))*(Assumptions!C10*(1+Assumptions!$B$20))</f>
        <v/>
      </c>
      <c r="E10" s="5">
        <f>(Assumptions!B10*(1+Assumptions!$B$23))*(Assumptions!C10*(1+Assumptions!$B$22))</f>
        <v/>
      </c>
      <c r="F10" s="5">
        <f>D10-B10</f>
        <v/>
      </c>
      <c r="G10" s="15">
        <f>F10/B10</f>
        <v/>
      </c>
      <c r="H10" s="7" t="inlineStr">
        <is>
          <t>Direct formal market rate without middleman haircut</t>
        </is>
      </c>
    </row>
    <row r="11">
      <c r="A11" s="3">
        <f>Assumptions!A11</f>
        <v/>
      </c>
      <c r="B11" s="5">
        <f>Assumptions!B11*Assumptions!C11</f>
        <v/>
      </c>
      <c r="C11" s="5">
        <f>(Assumptions!B11*(1+Assumptions!$B$19))*(Assumptions!C11*(1+Assumptions!$B$18))</f>
        <v/>
      </c>
      <c r="D11" s="5">
        <f>(Assumptions!B11*(1+Assumptions!$B$21))*(Assumptions!C11*(1+Assumptions!$B$20))</f>
        <v/>
      </c>
      <c r="E11" s="5">
        <f>(Assumptions!B11*(1+Assumptions!$B$23))*(Assumptions!C11*(1+Assumptions!$B$22))</f>
        <v/>
      </c>
      <c r="F11" s="5">
        <f>D11-B11</f>
        <v/>
      </c>
      <c r="G11" s="15">
        <f>F11/B11</f>
        <v/>
      </c>
      <c r="H11" s="7" t="inlineStr">
        <is>
          <t>Direct formal market rate without middleman haircut</t>
        </is>
      </c>
    </row>
    <row r="12">
      <c r="A12" s="3">
        <f>Assumptions!A12</f>
        <v/>
      </c>
      <c r="B12" s="5">
        <f>Assumptions!B12*Assumptions!C12</f>
        <v/>
      </c>
      <c r="C12" s="5">
        <f>(Assumptions!B12*(1+Assumptions!$B$19))*(Assumptions!C12*(1+Assumptions!$B$18))</f>
        <v/>
      </c>
      <c r="D12" s="5">
        <f>(Assumptions!B12*(1+Assumptions!$B$21))*(Assumptions!C12*(1+Assumptions!$B$20))</f>
        <v/>
      </c>
      <c r="E12" s="5">
        <f>(Assumptions!B12*(1+Assumptions!$B$23))*(Assumptions!C12*(1+Assumptions!$B$22))</f>
        <v/>
      </c>
      <c r="F12" s="5">
        <f>D12-B12</f>
        <v/>
      </c>
      <c r="G12" s="15">
        <f>F12/B12</f>
        <v/>
      </c>
      <c r="H12" s="7" t="inlineStr">
        <is>
          <t>Direct formal market rate without middleman haircut</t>
        </is>
      </c>
    </row>
    <row r="13">
      <c r="A13" s="9" t="inlineStr">
        <is>
          <t>TOTAL DAILY GROSS EARNINGS (₹)</t>
        </is>
      </c>
      <c r="B13" s="16">
        <f>SUM(B4:B12)</f>
        <v/>
      </c>
      <c r="C13" s="16">
        <f>SUM(C4:C12)</f>
        <v/>
      </c>
      <c r="D13" s="16">
        <f>SUM(D4:D12)</f>
        <v/>
      </c>
      <c r="E13" s="16">
        <f>SUM(E4:E12)</f>
        <v/>
      </c>
      <c r="F13" s="16">
        <f>D13-B13</f>
        <v/>
      </c>
      <c r="G13" s="17">
        <f>(D13-B13)/B13</f>
        <v/>
      </c>
      <c r="H13" s="11" t="inlineStr">
        <is>
          <t>Net daily earnings across all categories</t>
        </is>
      </c>
    </row>
    <row r="14"/>
    <row r="15"/>
    <row r="16">
      <c r="A16" s="18" t="inlineStr">
        <is>
          <t>Monthly Collector Income &amp; Living Standard Comparison</t>
        </is>
      </c>
    </row>
    <row r="17">
      <c r="A17" s="19" t="inlineStr">
        <is>
          <t>Metric</t>
        </is>
      </c>
      <c r="B17" s="19" t="inlineStr">
        <is>
          <t>Baseline (Informal)</t>
        </is>
      </c>
      <c r="C17" s="19" t="inlineStr">
        <is>
          <t>Conservative (Platform)</t>
        </is>
      </c>
      <c r="D17" s="19" t="inlineStr">
        <is>
          <t>Base Case (Platform)</t>
        </is>
      </c>
      <c r="E17" s="19" t="inlineStr">
        <is>
          <t>Optimistic (Platform)</t>
        </is>
      </c>
      <c r="F17" s="19" t="inlineStr">
        <is>
          <t>Base Monthly Delta</t>
        </is>
      </c>
      <c r="G17" s="19" t="inlineStr">
        <is>
          <t>Growth %</t>
        </is>
      </c>
      <c r="H17" s="19" t="inlineStr">
        <is>
          <t>Economic &amp; Social Impact</t>
        </is>
      </c>
    </row>
    <row r="18">
      <c r="A18" s="3" t="inlineStr">
        <is>
          <t>Monthly Gross Scrap Revenue (26 Days)</t>
        </is>
      </c>
      <c r="B18" s="5">
        <f>B13*Assumptions!$B$16</f>
        <v/>
      </c>
      <c r="C18" s="5">
        <f>C13*Assumptions!$B$16</f>
        <v/>
      </c>
      <c r="D18" s="5">
        <f>D13*Assumptions!$B$16</f>
        <v/>
      </c>
      <c r="E18" s="5">
        <f>E13*Assumptions!$B$16</f>
        <v/>
      </c>
      <c r="F18" s="5">
        <f>D18-B18</f>
        <v/>
      </c>
      <c r="G18" s="15">
        <f>(D18-B18)/B18</f>
        <v/>
      </c>
      <c r="H18" s="7" t="inlineStr">
        <is>
          <t>Calculated from 26 working collection days per month</t>
        </is>
      </c>
    </row>
    <row r="19">
      <c r="A19" s="3" t="inlineStr">
        <is>
          <t>Less: Health, Burn Injuries &amp; Fine Burden</t>
        </is>
      </c>
      <c r="B19" s="5">
        <f>-Assumptions!$B$17</f>
        <v/>
      </c>
      <c r="C19" s="5">
        <f>-Assumptions!$B$17*0.4</f>
        <v/>
      </c>
      <c r="D19" s="5">
        <f>-Assumptions!$B$17*0.2</f>
        <v/>
      </c>
      <c r="E19" s="5">
        <f>0</f>
        <v/>
      </c>
      <c r="F19" s="5">
        <f>D19-B19</f>
        <v/>
      </c>
      <c r="G19" s="15">
        <f>(D19-B19)/(-B19)</f>
        <v/>
      </c>
      <c r="H19" s="7" t="inlineStr">
        <is>
          <t>Safety instructions &amp; formal channels eliminate backyard acid/fire risks</t>
        </is>
      </c>
    </row>
    <row r="20">
      <c r="A20" s="20" t="inlineStr">
        <is>
          <t>NET MONTHLY TAKE-HOME INCOME (₹)</t>
        </is>
      </c>
      <c r="B20" s="21">
        <f>B18+B19</f>
        <v/>
      </c>
      <c r="C20" s="21">
        <f>C18+C19</f>
        <v/>
      </c>
      <c r="D20" s="21">
        <f>D18+D19</f>
        <v/>
      </c>
      <c r="E20" s="21">
        <f>E18+E19</f>
        <v/>
      </c>
      <c r="F20" s="21">
        <f>D20-B20</f>
        <v/>
      </c>
      <c r="G20" s="22">
        <f>(D20-B20)/B20</f>
        <v/>
      </c>
      <c r="H20" s="23" t="inlineStr">
        <is>
          <t>Transformative income lift lifting collector families above poverty line</t>
        </is>
      </c>
    </row>
  </sheetData>
  <mergeCells count="2">
    <mergeCell ref="A16:H1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46" customWidth="1" min="7" max="7"/>
  </cols>
  <sheetData>
    <row r="1" ht="40" customHeight="1">
      <c r="A1" s="1" t="inlineStr">
        <is>
          <t>Platform Unit Economics, Revenue Streams &amp; Break-Even Model</t>
        </is>
      </c>
    </row>
    <row r="2"/>
    <row r="3" ht="28" customHeight="1">
      <c r="A3" s="2" t="inlineStr">
        <is>
          <t>Revenue Stream / Cost Driver</t>
        </is>
      </c>
      <c r="B3" s="2" t="inlineStr">
        <is>
          <t>Unit Rate / Basis</t>
        </is>
      </c>
      <c r="C3" s="2" t="inlineStr">
        <is>
          <t>Monthly Volume Units</t>
        </is>
      </c>
      <c r="D3" s="2" t="inlineStr">
        <is>
          <t>Monthly Revenue / Cost (₹)</t>
        </is>
      </c>
      <c r="E3" s="2" t="inlineStr">
        <is>
          <t>% of Total</t>
        </is>
      </c>
      <c r="F3" s="2" t="inlineStr">
        <is>
          <t>Provenance / Status</t>
        </is>
      </c>
      <c r="G3" s="2" t="inlineStr">
        <is>
          <t>Model Notes &amp; Scaling Assumption</t>
        </is>
      </c>
    </row>
    <row r="4">
      <c r="A4" s="3" t="inlineStr">
        <is>
          <t>1. Recycler SaaS Portal Subscription</t>
        </is>
      </c>
      <c r="B4" s="5" t="n">
        <v>500</v>
      </c>
      <c r="C4" s="14" t="inlineStr">
        <is>
          <t>₹ / recycler / mo</t>
        </is>
      </c>
      <c r="D4" s="13" t="n">
        <v>100</v>
      </c>
      <c r="E4" s="5">
        <f>B4*D4</f>
        <v/>
      </c>
      <c r="F4" s="7" t="inlineStr">
        <is>
          <t>Assumption</t>
        </is>
      </c>
      <c r="G4" s="14" t="inlineStr">
        <is>
          <t>100 authorized EPR aggregators across Maharashtra</t>
        </is>
      </c>
    </row>
    <row r="5">
      <c r="A5" s="3" t="inlineStr">
        <is>
          <t>2. Marketplace Transaction Commission</t>
        </is>
      </c>
      <c r="B5" s="6" t="n">
        <v>0.015</v>
      </c>
      <c r="C5" s="14" t="inlineStr">
        <is>
          <t>1.5% of gross trade</t>
        </is>
      </c>
      <c r="D5" s="13" t="n">
        <v>5850000</v>
      </c>
      <c r="E5" s="5">
        <f>B5*D5</f>
        <v/>
      </c>
      <c r="F5" s="7" t="inlineStr">
        <is>
          <t>Assumption</t>
        </is>
      </c>
      <c r="G5" s="14" t="inlineStr">
        <is>
          <t>Gross transaction volume of ~130 MT/mo across 1,000 collectors</t>
        </is>
      </c>
    </row>
    <row r="6">
      <c r="A6" s="3" t="inlineStr">
        <is>
          <t>3. EPR Compliance Traceability Certificate Fee</t>
        </is>
      </c>
      <c r="B6" s="5" t="n">
        <v>1.2</v>
      </c>
      <c r="C6" s="14" t="inlineStr">
        <is>
          <t>₹ / verified kg</t>
        </is>
      </c>
      <c r="D6" s="13" t="n">
        <v>130000</v>
      </c>
      <c r="E6" s="5">
        <f>B6*D6</f>
        <v/>
      </c>
      <c r="F6" s="7" t="inlineStr">
        <is>
          <t>Assumption</t>
        </is>
      </c>
      <c r="G6" s="14" t="inlineStr">
        <is>
          <t>Brand Producer EPR compliance credits (CPCB verified portal)</t>
        </is>
      </c>
    </row>
    <row r="7">
      <c r="A7" s="3" t="inlineStr">
        <is>
          <t>4. Government / CSR Innovation &amp; Safety Grant</t>
        </is>
      </c>
      <c r="B7" s="5" t="n">
        <v>25000</v>
      </c>
      <c r="C7" s="14" t="inlineStr">
        <is>
          <t>₹ / month fixed</t>
        </is>
      </c>
      <c r="D7" s="13" t="n">
        <v>1</v>
      </c>
      <c r="E7" s="5">
        <f>B7*D7</f>
        <v/>
      </c>
      <c r="F7" s="7" t="inlineStr">
        <is>
          <t>Assumption</t>
        </is>
      </c>
      <c r="G7" s="14" t="inlineStr">
        <is>
          <t>Ministry of Mines / JNARDDC informal sector formalization grant</t>
        </is>
      </c>
    </row>
    <row r="8">
      <c r="A8" s="9" t="inlineStr">
        <is>
          <t>TOTAL MONTHLY REVENUE (₹)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-</t>
        </is>
      </c>
      <c r="E8" s="16">
        <f>SUM(E4:E7)</f>
        <v/>
      </c>
      <c r="F8" s="11" t="inlineStr">
        <is>
          <t>100.0%</t>
        </is>
      </c>
      <c r="G8" s="11" t="inlineStr">
        <is>
          <t>Total blended platform revenue</t>
        </is>
      </c>
    </row>
    <row r="9"/>
    <row r="10">
      <c r="A10" s="18" t="inlineStr">
        <is>
          <t>Monthly Operational Cost Structure (OPEX)</t>
        </is>
      </c>
    </row>
    <row r="11">
      <c r="A11" s="3" t="inlineStr">
        <is>
          <t>Cloud Infrastructure (PostGIS, FastAPI, Next.js Hosting)</t>
        </is>
      </c>
      <c r="B11" s="5" t="n">
        <v>8500</v>
      </c>
      <c r="C11" s="14" t="inlineStr">
        <is>
          <t>Monthly AWS/GCP hosting</t>
        </is>
      </c>
      <c r="D11" s="14" t="n">
        <v>1</v>
      </c>
      <c r="E11" s="5">
        <f>B11</f>
        <v/>
      </c>
      <c r="F11" s="7" t="inlineStr">
        <is>
          <t>Assumption</t>
        </is>
      </c>
      <c r="G11" s="14" t="inlineStr">
        <is>
          <t>High availability, spatial indexing &amp; auto-scaling</t>
        </is>
      </c>
    </row>
    <row r="12">
      <c r="A12" s="3" t="inlineStr">
        <is>
          <t>SMS OTP &amp; Vernacular Speech Engine API</t>
        </is>
      </c>
      <c r="B12" s="5" t="n">
        <v>3500</v>
      </c>
      <c r="C12" s="14" t="inlineStr">
        <is>
          <t>Monthly API quota</t>
        </is>
      </c>
      <c r="D12" s="14" t="n">
        <v>1</v>
      </c>
      <c r="E12" s="5">
        <f>B12</f>
        <v/>
      </c>
      <c r="F12" s="7" t="inlineStr">
        <is>
          <t>Assumption</t>
        </is>
      </c>
      <c r="G12" s="14" t="inlineStr">
        <is>
          <t>Pluggable OTP verification &amp; high-quality Devanagari TTS</t>
        </is>
      </c>
    </row>
    <row r="13">
      <c r="A13" s="3" t="inlineStr">
        <is>
          <t>Ground Field Coordinators &amp; Recycler Support (2 Staff)</t>
        </is>
      </c>
      <c r="B13" s="5" t="n">
        <v>50000</v>
      </c>
      <c r="C13" s="14" t="inlineStr">
        <is>
          <t>Staff honorarium</t>
        </is>
      </c>
      <c r="D13" s="14" t="n">
        <v>1</v>
      </c>
      <c r="E13" s="5">
        <f>B13</f>
        <v/>
      </c>
      <c r="F13" s="7" t="inlineStr">
        <is>
          <t>Assumption</t>
        </is>
      </c>
      <c r="G13" s="14" t="inlineStr">
        <is>
          <t>Scrap cluster outreach, weight verification audits &amp; onboarding</t>
        </is>
      </c>
    </row>
    <row r="14">
      <c r="A14" s="3" t="inlineStr">
        <is>
          <t>Software Maintenance, ML Drift Retraining &amp; Bugfixes</t>
        </is>
      </c>
      <c r="B14" s="5" t="n">
        <v>25000</v>
      </c>
      <c r="C14" s="14" t="inlineStr">
        <is>
          <t>Dev team allocation</t>
        </is>
      </c>
      <c r="D14" s="14" t="n">
        <v>1</v>
      </c>
      <c r="E14" s="5">
        <f>B14</f>
        <v/>
      </c>
      <c r="F14" s="7" t="inlineStr">
        <is>
          <t>Assumption</t>
        </is>
      </c>
      <c r="G14" s="14" t="inlineStr">
        <is>
          <t>Monthly retraining of pricing &amp; anomaly detection pipelines</t>
        </is>
      </c>
    </row>
    <row r="15">
      <c r="A15" s="3" t="inlineStr">
        <is>
          <t>EPR Regulatory Audit &amp; Compliance Certification Filing</t>
        </is>
      </c>
      <c r="B15" s="5" t="n">
        <v>12000</v>
      </c>
      <c r="C15" s="14" t="inlineStr">
        <is>
          <t>Auditor compliance</t>
        </is>
      </c>
      <c r="D15" s="14" t="n">
        <v>1</v>
      </c>
      <c r="E15" s="5">
        <f>B15</f>
        <v/>
      </c>
      <c r="F15" s="7" t="inlineStr">
        <is>
          <t>Assumption</t>
        </is>
      </c>
      <c r="G15" s="14" t="inlineStr">
        <is>
          <t>Annual third-party mass balance validation</t>
        </is>
      </c>
    </row>
    <row r="16">
      <c r="A16" s="9" t="inlineStr">
        <is>
          <t>TOTAL MONTHLY OPERATIONAL COSTS (₹)</t>
        </is>
      </c>
      <c r="B16" s="11" t="inlineStr">
        <is>
          <t>-</t>
        </is>
      </c>
      <c r="C16" s="11" t="inlineStr">
        <is>
          <t>-</t>
        </is>
      </c>
      <c r="D16" s="11" t="inlineStr">
        <is>
          <t>-</t>
        </is>
      </c>
      <c r="E16" s="16">
        <f>SUM(E11:E15)</f>
        <v/>
      </c>
      <c r="F16" s="11" t="inlineStr">
        <is>
          <t>-</t>
        </is>
      </c>
      <c r="G16" s="11" t="inlineStr">
        <is>
          <t>Total monthly operating budget</t>
        </is>
      </c>
    </row>
    <row r="17">
      <c r="A17" t="inlineStr">
        <is>
          <t>NET MONTHLY OPERATING MARGIN / SURPLUS (₹)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>
        <f>E8-E16</f>
        <v/>
      </c>
      <c r="F17">
        <f>(E8-E16)/E8</f>
        <v/>
      </c>
      <c r="G17" t="inlineStr">
        <is>
          <t>Sustainable unit economics for long-term nationwide deployment</t>
        </is>
      </c>
    </row>
    <row r="18">
      <c r="A18" s="20" t="n"/>
      <c r="B18" s="24" t="n"/>
      <c r="C18" s="24" t="n"/>
      <c r="D18" s="24" t="n"/>
      <c r="E18" s="25" t="n"/>
      <c r="F18" s="26" t="n"/>
      <c r="G18" s="24" t="n"/>
    </row>
    <row r="19"/>
    <row r="20"/>
    <row r="21">
      <c r="A21" s="18" t="inlineStr">
        <is>
          <t>Sensitivity Analysis: Recycler Adoption Pace (Year 1 Scenarios)</t>
        </is>
      </c>
    </row>
    <row r="22">
      <c r="A22" s="19" t="inlineStr">
        <is>
          <t>Adoption Scenario</t>
        </is>
      </c>
      <c r="B22" s="19" t="inlineStr">
        <is>
          <t>Active Recyclers</t>
        </is>
      </c>
      <c r="C22" s="19" t="inlineStr">
        <is>
          <t>Monthly Volume (kg)</t>
        </is>
      </c>
      <c r="D22" s="19" t="inlineStr">
        <is>
          <t>Monthly Revenue (₹)</t>
        </is>
      </c>
      <c r="E22" s="19" t="inlineStr">
        <is>
          <t>Monthly OPEX (₹)</t>
        </is>
      </c>
      <c r="F22" s="19" t="inlineStr">
        <is>
          <t>Net Surplus / (Deficit) (₹)</t>
        </is>
      </c>
      <c r="G22" s="19" t="inlineStr">
        <is>
          <t>Status &amp; Breakeven Point</t>
        </is>
      </c>
    </row>
    <row r="23">
      <c r="A23" s="3" t="inlineStr">
        <is>
          <t>Slow Adoption (Year 1 Cold Start)</t>
        </is>
      </c>
      <c r="B23" s="13" t="n">
        <v>20</v>
      </c>
      <c r="C23" s="27" t="n">
        <v>26000</v>
      </c>
      <c r="D23" s="5">
        <f>(20*500)+(26000*45*0.015)+(26000*1.2)+25000</f>
        <v/>
      </c>
      <c r="E23" s="5">
        <f>E16*0.8</f>
        <v/>
      </c>
      <c r="F23" s="28">
        <f>D23-E23</f>
        <v/>
      </c>
      <c r="G23" s="7" t="inlineStr">
        <is>
          <t>Breakeven via Grant Support</t>
        </is>
      </c>
    </row>
    <row r="24">
      <c r="A24" s="3" t="inlineStr">
        <is>
          <t>Moderate Adoption (Mid Year 1)</t>
        </is>
      </c>
      <c r="B24" s="13" t="n">
        <v>50</v>
      </c>
      <c r="C24" s="27" t="n">
        <v>65000</v>
      </c>
      <c r="D24" s="5">
        <f>(50*500)+(65000*45*0.015)+(65000*1.2)+25000</f>
        <v/>
      </c>
      <c r="E24" s="5">
        <f>E16*0.9</f>
        <v/>
      </c>
      <c r="F24" s="28">
        <f>D24-E24</f>
        <v/>
      </c>
      <c r="G24" s="7" t="inlineStr">
        <is>
          <t>Profitable Operations</t>
        </is>
      </c>
    </row>
    <row r="25">
      <c r="A25" s="3" t="inlineStr">
        <is>
          <t>Target Adoption (Year 1 Goal)</t>
        </is>
      </c>
      <c r="B25" s="13" t="n">
        <v>100</v>
      </c>
      <c r="C25" s="27" t="n">
        <v>130000</v>
      </c>
      <c r="D25" s="5">
        <f>E8</f>
        <v/>
      </c>
      <c r="E25" s="5">
        <f>E16</f>
        <v/>
      </c>
      <c r="F25" s="28">
        <f>D25-E25</f>
        <v/>
      </c>
      <c r="G25" s="7" t="inlineStr">
        <is>
          <t>Target Operating Model</t>
        </is>
      </c>
    </row>
    <row r="26">
      <c r="A26" s="3" t="inlineStr">
        <is>
          <t>High Expansion (Year 2 Scale)</t>
        </is>
      </c>
      <c r="B26" s="13" t="n">
        <v>250</v>
      </c>
      <c r="C26" s="27" t="n">
        <v>350000</v>
      </c>
      <c r="D26" s="5">
        <f>(250*500)+(350000*45*0.015)+(350000*1.2)+25000</f>
        <v/>
      </c>
      <c r="E26" s="5">
        <f>E16*1.4</f>
        <v/>
      </c>
      <c r="F26" s="28">
        <f>D26-E26</f>
        <v/>
      </c>
      <c r="G26" s="7" t="inlineStr">
        <is>
          <t>High Surplus for Collector Welfare Fund</t>
        </is>
      </c>
    </row>
  </sheetData>
  <mergeCells count="3">
    <mergeCell ref="A21:G21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2026-09-25T14:19:17Z</dcterms:created>
  <dcterms:modified xsi:type="dcterms:W3CDTF">2026-09-25T14:19:17Z</dcterms:modified>
</cp:coreProperties>
</file>